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b7a4af777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74f3f34730249aa"/>
    <x:sheet xmlns:r="http://schemas.openxmlformats.org/officeDocument/2006/relationships" name="Assumptions" sheetId="2" r:id="R7538bdae74974551"/>
    <x:sheet xmlns:r="http://schemas.openxmlformats.org/officeDocument/2006/relationships" name="Revenue Model" sheetId="3" r:id="R946ae8b84ef94562"/>
    <x:sheet xmlns:r="http://schemas.openxmlformats.org/officeDocument/2006/relationships" name="P&amp;L" sheetId="4" r:id="R75d8c7e6649c4188"/>
    <x:sheet xmlns:r="http://schemas.openxmlformats.org/officeDocument/2006/relationships" name="Cash Runway" sheetId="5" r:id="R25be580dd7cd462e"/>
    <x:sheet xmlns:r="http://schemas.openxmlformats.org/officeDocument/2006/relationships" name="Business Model Canvas" sheetId="6" r:id="Rfcc3607eb768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"/>
    <x:numFmt numFmtId="201" formatCode="0%"/>
  </x:numFmts>
  <x:fonts count="6">
    <x:font>
      <x:sz val="11"/>
      <x:name val="Carlito"/>
    </x:font>
    <x:font>
      <x:sz val="10"/>
      <x:color rgb="111827"/>
      <x:name val="Aptos"/>
    </x:font>
    <x:font>
      <x:b/>
      <x:sz val="16"/>
      <x:color rgb="FFFFFF"/>
      <x:name val="Aptos"/>
    </x:font>
    <x:font>
      <x:b/>
      <x:sz val="10"/>
      <x:color rgb="0F172A"/>
      <x:name val="Aptos"/>
    </x:font>
    <x:font>
      <x:b/>
      <x:sz val="16"/>
      <x:color rgb="FFFFFF"/>
      <x:name val="Carlito"/>
    </x:font>
    <x:font>
      <x:b/>
      <x:sz val="11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6F4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45cbea3834af9" /><Relationship Type="http://schemas.openxmlformats.org/officeDocument/2006/relationships/theme" Target="/xl/theme/theme1.xml" Id="R2cf4f0313f504ea5" /><Relationship Type="http://schemas.openxmlformats.org/officeDocument/2006/relationships/sharedStrings" Target="/xl/sharedStrings.xml" Id="R4028e076cc71442f" /><Relationship Type="http://schemas.openxmlformats.org/officeDocument/2006/relationships/worksheet" Target="/xl/worksheets/sheet1.xml" Id="R274f3f34730249aa" /><Relationship Type="http://schemas.openxmlformats.org/officeDocument/2006/relationships/worksheet" Target="/xl/worksheets/sheet2.xml" Id="R7538bdae74974551" /><Relationship Type="http://schemas.openxmlformats.org/officeDocument/2006/relationships/worksheet" Target="/xl/worksheets/sheet3.xml" Id="R946ae8b84ef94562" /><Relationship Type="http://schemas.openxmlformats.org/officeDocument/2006/relationships/worksheet" Target="/xl/worksheets/sheet4.xml" Id="R75d8c7e6649c4188" /><Relationship Type="http://schemas.openxmlformats.org/officeDocument/2006/relationships/worksheet" Target="/xl/worksheets/sheet5.xml" Id="R25be580dd7cd462e" /><Relationship Type="http://schemas.openxmlformats.org/officeDocument/2006/relationships/worksheet" Target="/xl/worksheets/sheet6.xml" Id="Rfcc3607eb7684b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d161ea52b740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trajectory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'Executive Summary'!$J$4:$J$6</c:f>
              <c:strCache>
                <c:ptCount val="0"/>
              </c:strCache>
            </c:strRef>
          </c:cat>
          <c:val>
            <c:numRef>
              <c:f>'Executive Summary'!$K$4:$K$6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cat>
            <c:strRef>
              <c:f>'Executive Summary'!$J$4:$J$6</c:f>
              <c:strCache>
                <c:ptCount val="0"/>
              </c:strCache>
            </c:strRef>
          </c:cat>
          <c:val>
            <c:numRef>
              <c:f>'Executive Summary'!$L$4:$L$6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</c:v>
          </c:tx>
          <c:cat>
            <c:strRef>
              <c:f>'Executive Summary'!$J$4:$J$6</c:f>
              <c:strCache>
                <c:ptCount val="0"/>
              </c:strCache>
            </c:strRef>
          </c:cat>
          <c:val>
            <c:numRef>
              <c:f>'Executive Summary'!$M$4:$M$6</c:f>
              <c:numCache>
                <c:formatCode>€#,##0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d161ea52b740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5f28af8c7d46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4900016784668" hidden="0" customWidth="1"/>
    <x:col min="2" max="2" width="139.02999877929688" hidden="0" customWidth="1"/>
    <x:col min="3" max="3" width="5.920000076293945" hidden="0" customWidth="1"/>
    <x:col min="4" max="4" width="6.329999923706055" hidden="0" customWidth="1"/>
    <x:col min="6" max="6" width="12.789999961853027" hidden="0" customWidth="1"/>
    <x:col min="7" max="7" width="8.210000038146973" hidden="0" customWidth="1"/>
    <x:col min="8" max="8" width="6.329999923706055" hidden="0" customWidth="1"/>
    <x:col min="10" max="10" width="4.309999942779541" hidden="0" customWidth="1"/>
    <x:col min="11" max="11" width="6.329999923706055" hidden="0" customWidth="1"/>
    <x:col min="12" max="12" width="8.479999542236328" hidden="0" customWidth="1"/>
    <x:col min="13" max="13" width="8.210000038146973" hidden="0" customWidth="1"/>
  </x:cols>
  <x:sheetData>
    <x:row r="1" ht="19.200000762939453" hidden="0" customHeight="1">
      <x:c r="A1" s="4" t="str">
        <x:v>Cortex investor package: 3-year model</x:v>
      </x:c>
      <x:c r="B1" s="4" t="str"/>
      <x:c r="C1" s="4" t="str"/>
      <x:c r="D1" s="4" t="str"/>
      <x:c r="E1" s="4" t="str"/>
      <x:c r="F1" s="4" t="str"/>
      <x:c r="G1" s="4" t="str"/>
      <x:c r="H1" s="4"/>
      <x:c r="I1" s="2"/>
      <x:c r="J1" s="2"/>
      <x:c r="K1" s="2"/>
      <x:c r="L1" s="2"/>
      <x:c r="M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A3" s="6" t="str">
        <x:v>Thesis</x:v>
      </x:c>
      <x:c r="B3" s="6" t="str">
        <x:v>Cortex turns ad creation into a pre-spend feedback loop: generate multimodal creative, predict neural response, and export the highest-potential assets before media budget is committed.</x:v>
      </x:c>
      <x:c r="C3" s="6" t="str"/>
      <x:c r="D3" s="6" t="str"/>
      <x:c r="E3" s="6" t="str"/>
      <x:c r="F3" s="6" t="str"/>
      <x:c r="G3" s="6" t="str"/>
      <x:c r="H3" s="6"/>
      <x:c r="I3" s="2"/>
      <x:c r="J3" s="2" t="str">
        <x:v>Year</x:v>
      </x:c>
      <x:c r="K3" s="2" t="str">
        <x:v>Revenue</x:v>
      </x:c>
      <x:c r="L3" s="2" t="str">
        <x:v>Gross Profit</x:v>
      </x:c>
      <x:c r="M3" s="2" t="str">
        <x:v>EBITDA</x:v>
      </x:c>
    </x:row>
    <x:row r="4" ht="15" hidden="0" customHeight="1">
      <x:c r="A4" s="2" t="str">
        <x:v>Model stance</x:v>
      </x:c>
      <x:c r="B4" s="2" t="str">
        <x:v>Editable directional model; not historical financials. Commercial revenue assumes resolved model licensing path.</x:v>
      </x:c>
      <x:c r="C4" s="2" t="str"/>
      <x:c r="D4" s="2" t="str"/>
      <x:c r="E4" s="2" t="str"/>
      <x:c r="F4" s="2" t="str"/>
      <x:c r="G4" s="2" t="str"/>
      <x:c r="H4" s="2"/>
      <x:c r="I4" s="2"/>
      <x:c r="J4" s="2" t="str">
        <x:v>Year 1</x:v>
      </x:c>
      <x:c r="K4" s="2" t="n">
        <x:v>122202</x:v>
      </x:c>
      <x:c r="L4" s="2" t="n">
        <x:v>83097.36</x:v>
      </x:c>
      <x:c r="M4" s="2" t="n">
        <x:v>-286902.64</x:v>
      </x:c>
    </x:row>
    <x:row r="5" ht="15" hidden="0" customHeight="1">
      <x:c r="A5" s="2" t="str">
        <x:v>Year</x:v>
      </x:c>
      <x:c r="B5" s="2" t="str">
        <x:v>Year 1</x:v>
      </x:c>
      <x:c r="C5" s="2" t="str">
        <x:v>Year 2</x:v>
      </x:c>
      <x:c r="D5" s="2" t="str">
        <x:v>Year 3</x:v>
      </x:c>
      <x:c r="E5" s="2" t="str"/>
      <x:c r="F5" s="2" t="str"/>
      <x:c r="G5" s="2" t="str"/>
      <x:c r="H5" s="2"/>
      <x:c r="I5" s="2"/>
      <x:c r="J5" s="2" t="str">
        <x:v>Year 2</x:v>
      </x:c>
      <x:c r="K5" s="2" t="n">
        <x:v>812712</x:v>
      </x:c>
      <x:c r="L5" s="2" t="n">
        <x:v>609534</x:v>
      </x:c>
      <x:c r="M5" s="2" t="n">
        <x:v>-450466</x:v>
      </x:c>
    </x:row>
    <x:row r="6" ht="15" hidden="0" customHeight="1">
      <x:c r="A6" s="2" t="str">
        <x:v>Revenue</x:v>
      </x:c>
      <x:c r="B6" s="13" t="n">
        <x:v>122202</x:v>
      </x:c>
      <x:c r="C6" s="13" t="n">
        <x:v>812712</x:v>
      </x:c>
      <x:c r="D6" s="13" t="n">
        <x:v>2729130</x:v>
      </x:c>
      <x:c r="E6" s="2" t="str"/>
      <x:c r="F6" s="2" t="str"/>
      <x:c r="G6" s="2" t="str"/>
      <x:c r="H6" s="2"/>
      <x:c r="I6" s="2"/>
      <x:c r="J6" s="2" t="str">
        <x:v>Year 3</x:v>
      </x:c>
      <x:c r="K6" s="2" t="n">
        <x:v>2729130</x:v>
      </x:c>
      <x:c r="L6" s="2" t="n">
        <x:v>2183304</x:v>
      </x:c>
      <x:c r="M6" s="2" t="n">
        <x:v>-56696</x:v>
      </x:c>
    </x:row>
    <x:row r="7" ht="15" hidden="0" customHeight="1">
      <x:c r="A7" s="2" t="str">
        <x:v>Gross margin</x:v>
      </x:c>
      <x:c r="B7" s="12" t="n">
        <x:v>0.68</x:v>
      </x:c>
      <x:c r="C7" s="12" t="n">
        <x:v>0.75</x:v>
      </x:c>
      <x:c r="D7" s="12" t="n">
        <x:v>0.8</x:v>
      </x:c>
      <x:c r="E7" s="2" t="str"/>
      <x:c r="F7" s="2" t="str"/>
      <x:c r="G7" s="2" t="str"/>
      <x:c r="H7" s="2"/>
      <x:c r="I7" s="2"/>
      <x:c r="J7" s="2"/>
      <x:c r="K7" s="2"/>
      <x:c r="L7" s="2"/>
      <x:c r="M7" s="2"/>
    </x:row>
    <x:row r="8" ht="15" hidden="0" customHeight="1">
      <x:c r="A8" s="2" t="str">
        <x:v>EBITDA</x:v>
      </x:c>
      <x:c r="B8" s="13" t="n">
        <x:v>-286902.64</x:v>
      </x:c>
      <x:c r="C8" s="13" t="n">
        <x:v>-450466</x:v>
      </x:c>
      <x:c r="D8" s="13" t="n">
        <x:v>-56696</x:v>
      </x:c>
      <x:c r="E8" s="2" t="str"/>
      <x:c r="F8" s="2" t="str"/>
      <x:c r="G8" s="2" t="str"/>
      <x:c r="H8" s="2"/>
      <x:c r="I8" s="2"/>
      <x:c r="J8" s="2"/>
      <x:c r="K8" s="2"/>
      <x:c r="L8" s="2"/>
      <x:c r="M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15" hidden="0" customHeight="1">
      <x:c r="A10" s="2" t="str">
        <x:v>Top investor takeaways</x:v>
      </x:c>
      <x:c r="B10" s="2" t="str"/>
      <x:c r="C10" s="2" t="str"/>
      <x:c r="D10" s="2" t="str"/>
      <x:c r="E10" s="2"/>
      <x:c r="F10" s="2" t="str">
        <x:v>Metric</x:v>
      </x:c>
      <x:c r="G10" s="2" t="str">
        <x:v>Y1</x:v>
      </x:c>
      <x:c r="H10" s="2" t="str">
        <x:v>Y3</x:v>
      </x:c>
      <x:c r="I10" s="2"/>
      <x:c r="J10" s="2"/>
      <x:c r="K10" s="2"/>
      <x:c r="L10" s="2"/>
      <x:c r="M10" s="2"/>
    </x:row>
    <x:row r="11" ht="15" hidden="0" customHeight="1">
      <x:c r="A11" s="2" t="str">
        <x:v>1</x:v>
      </x:c>
      <x:c r="B11" s="2" t="str">
        <x:v>Demo wedge is already built: generation, gallery, TRIBE analysis, brain viewer, export.</x:v>
      </x:c>
      <x:c r="C11" s="2" t="str"/>
      <x:c r="D11" s="2" t="str"/>
      <x:c r="E11" s="2"/>
      <x:c r="F11" s="2" t="str">
        <x:v>Ending customers</x:v>
      </x:c>
      <x:c r="G11" s="2" t="n">
        <x:v>34</x:v>
      </x:c>
      <x:c r="H11" s="2" t="n">
        <x:v>505</x:v>
      </x:c>
      <x:c r="I11" s="2"/>
      <x:c r="J11" s="2"/>
      <x:c r="K11" s="2"/>
      <x:c r="L11" s="2"/>
      <x:c r="M11" s="2"/>
    </x:row>
    <x:row r="12" ht="15" hidden="0" customHeight="1">
      <x:c r="A12" s="2" t="str">
        <x:v>2</x:v>
      </x:c>
      <x:c r="B12" s="2" t="str">
        <x:v>Revenue model combines subscriptions with usage-priced pre-spend creative testing.</x:v>
      </x:c>
      <x:c r="C12" s="2" t="str"/>
      <x:c r="D12" s="2" t="str"/>
      <x:c r="E12" s="2"/>
      <x:c r="F12" s="2" t="str">
        <x:v>Revenue</x:v>
      </x:c>
      <x:c r="G12" s="2" t="n">
        <x:v>122202</x:v>
      </x:c>
      <x:c r="H12" s="2" t="n">
        <x:v>2729130</x:v>
      </x:c>
      <x:c r="I12" s="2"/>
      <x:c r="J12" s="2"/>
      <x:c r="K12" s="2"/>
      <x:c r="L12" s="2"/>
      <x:c r="M12" s="2"/>
    </x:row>
    <x:row r="13" ht="15" hidden="0" customHeight="1">
      <x:c r="A13" s="2" t="str">
        <x:v>3</x:v>
      </x:c>
      <x:c r="B13" s="2" t="str">
        <x:v>Biggest diligence item is licensing: CC BY-NC TRIBE v2 cannot be the commercial core without a route around it.</x:v>
      </x:c>
      <x:c r="C13" s="2" t="str"/>
      <x:c r="D13" s="2" t="str"/>
      <x:c r="E13" s="2"/>
      <x:c r="F13" s="2" t="str">
        <x:v>Gross margin</x:v>
      </x:c>
      <x:c r="G13" s="12" t="n">
        <x:v>0.68</x:v>
      </x:c>
      <x:c r="H13" s="12" t="n">
        <x:v>0.8</x:v>
      </x:c>
      <x:c r="I13" s="2"/>
      <x:c r="J13" s="2"/>
      <x:c r="K13" s="2"/>
      <x:c r="L13" s="2"/>
      <x:c r="M13" s="2"/>
    </x:row>
    <x:row r="14" ht="15" hidden="0" customHeight="1">
      <x:c r="A14" s="2" t="str">
        <x:v>4</x:v>
      </x:c>
      <x:c r="B14" s="2" t="str">
        <x:v>Seed capital is positioned around productizing the model layer and proving agency/SMB pull.</x:v>
      </x:c>
      <x:c r="C14" s="2" t="str"/>
      <x:c r="D14" s="2" t="str"/>
      <x:c r="E14" s="2"/>
      <x:c r="F14" s="2" t="str">
        <x:v>EBITDA</x:v>
      </x:c>
      <x:c r="G14" s="2" t="n">
        <x:v>-286902.64</x:v>
      </x:c>
      <x:c r="H14" s="2" t="n">
        <x:v>-56696</x:v>
      </x:c>
      <x:c r="I14" s="2"/>
      <x:c r="J14" s="2"/>
      <x:c r="K14" s="2"/>
      <x:c r="L14" s="2"/>
      <x:c r="M14" s="2"/>
    </x:row>
  </x:sheetData>
  <x:pageMargins left="0.7" right="0.7" top="0.75" bottom="0.75" header="0.3" footer="0.3"/>
  <x:drawing xmlns:r="http://schemas.openxmlformats.org/officeDocument/2006/relationships" r:id="R2f5f28af8c7d46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11000061035156" hidden="0" customWidth="1"/>
    <x:col min="2" max="2" width="5.380000114440918" hidden="0" customWidth="1"/>
    <x:col min="3" max="3" width="5.380000114440918" hidden="0" customWidth="1"/>
    <x:col min="4" max="4" width="6.329999923706055" hidden="0" customWidth="1"/>
  </x:cols>
  <x:sheetData>
    <x:row r="1" ht="19.200000762939453" hidden="0" customHeight="1">
      <x:c r="A1" s="4" t="str">
        <x:v>Cortex 3-Year Model Assumptions</x:v>
      </x:c>
      <x:c r="B1" s="11" t="str"/>
      <x:c r="C1" s="11" t="str"/>
      <x:c r="D1" s="11" t="str"/>
      <x:c r="E1" s="8"/>
      <x:c r="F1" s="8"/>
      <x:c r="G1" s="8"/>
      <x:c r="H1" s="8"/>
    </x:row>
    <x:row r="2" ht="15" hidden="0" customHeight="1">
      <x:c r="A2" s="2"/>
      <x:c r="B2" s="2"/>
      <x:c r="C2" s="2"/>
      <x:c r="D2" s="2"/>
    </x:row>
    <x:row r="3" ht="15" hidden="0" customHeight="1">
      <x:c r="A3" s="6" t="str">
        <x:v>Metric</x:v>
      </x:c>
      <x:c r="B3" s="6" t="str">
        <x:v>Year 1</x:v>
      </x:c>
      <x:c r="C3" s="6" t="str">
        <x:v>Year 2</x:v>
      </x:c>
      <x:c r="D3" s="6" t="str">
        <x:v>Year 3</x:v>
      </x:c>
      <x:c r="E3" s="10"/>
      <x:c r="F3" s="10"/>
      <x:c r="G3" s="10"/>
      <x:c r="H3" s="10"/>
    </x:row>
    <x:row r="4" ht="15" hidden="0" customHeight="1">
      <x:c r="A4" s="2" t="str">
        <x:v>Ending Starter customers</x:v>
      </x:c>
      <x:c r="B4" s="2" t="n">
        <x:v>25</x:v>
      </x:c>
      <x:c r="C4" s="2" t="n">
        <x:v>120</x:v>
      </x:c>
      <x:c r="D4" s="2" t="n">
        <x:v>350</x:v>
      </x:c>
    </x:row>
    <x:row r="5" ht="15" hidden="0" customHeight="1">
      <x:c r="A5" s="2" t="str">
        <x:v>Ending Growth customers</x:v>
      </x:c>
      <x:c r="B5" s="2" t="n">
        <x:v>8</x:v>
      </x:c>
      <x:c r="C5" s="2" t="n">
        <x:v>45</x:v>
      </x:c>
      <x:c r="D5" s="2" t="n">
        <x:v>130</x:v>
      </x:c>
    </x:row>
    <x:row r="6" ht="15" hidden="0" customHeight="1">
      <x:c r="A6" s="2" t="str">
        <x:v>Ending Enterprise customers</x:v>
      </x:c>
      <x:c r="B6" s="2" t="n">
        <x:v>1</x:v>
      </x:c>
      <x:c r="C6" s="2" t="n">
        <x:v>8</x:v>
      </x:c>
      <x:c r="D6" s="2" t="n">
        <x:v>25</x:v>
      </x:c>
    </x:row>
    <x:row r="7" ht="15" hidden="0" customHeight="1">
      <x:c r="A7" s="2" t="str">
        <x:v>Starter price / month</x:v>
      </x:c>
      <x:c r="B7" s="2" t="n">
        <x:v>249</x:v>
      </x:c>
      <x:c r="C7" s="2" t="n">
        <x:v>249</x:v>
      </x:c>
      <x:c r="D7" s="2" t="n">
        <x:v>249</x:v>
      </x:c>
    </x:row>
    <x:row r="8" ht="15" hidden="0" customHeight="1">
      <x:c r="A8" s="2" t="str">
        <x:v>Growth price / month</x:v>
      </x:c>
      <x:c r="B8" s="2" t="n">
        <x:v>799</x:v>
      </x:c>
      <x:c r="C8" s="2" t="n">
        <x:v>799</x:v>
      </x:c>
      <x:c r="D8" s="2" t="n">
        <x:v>799</x:v>
      </x:c>
    </x:row>
    <x:row r="9" ht="15" hidden="0" customHeight="1">
      <x:c r="A9" s="2" t="str">
        <x:v>Enterprise ARPA / month</x:v>
      </x:c>
      <x:c r="B9" s="2" t="n">
        <x:v>2500</x:v>
      </x:c>
      <x:c r="C9" s="2" t="n">
        <x:v>2500</x:v>
      </x:c>
      <x:c r="D9" s="2" t="n">
        <x:v>2500</x:v>
      </x:c>
    </x:row>
    <x:row r="10" ht="15" hidden="0" customHeight="1">
      <x:c r="A10" s="2" t="str">
        <x:v>Starter analyses / customer / month</x:v>
      </x:c>
      <x:c r="B10" s="2" t="n">
        <x:v>40</x:v>
      </x:c>
      <x:c r="C10" s="2" t="n">
        <x:v>40</x:v>
      </x:c>
      <x:c r="D10" s="2" t="n">
        <x:v>40</x:v>
      </x:c>
    </x:row>
    <x:row r="11" ht="15" hidden="0" customHeight="1">
      <x:c r="A11" s="2" t="str">
        <x:v>Growth analyses / customer / month</x:v>
      </x:c>
      <x:c r="B11" s="2" t="n">
        <x:v>100</x:v>
      </x:c>
      <x:c r="C11" s="2" t="n">
        <x:v>100</x:v>
      </x:c>
      <x:c r="D11" s="2" t="n">
        <x:v>100</x:v>
      </x:c>
    </x:row>
    <x:row r="12" ht="15" hidden="0" customHeight="1">
      <x:c r="A12" s="2" t="str">
        <x:v>Enterprise analyses / customer / month</x:v>
      </x:c>
      <x:c r="B12" s="2" t="n">
        <x:v>300</x:v>
      </x:c>
      <x:c r="C12" s="2" t="n">
        <x:v>300</x:v>
      </x:c>
      <x:c r="D12" s="2" t="n">
        <x:v>300</x:v>
      </x:c>
    </x:row>
    <x:row r="13" ht="15" hidden="0" customHeight="1">
      <x:c r="A13" s="2" t="str">
        <x:v>Usage price / analyzed asset</x:v>
      </x:c>
      <x:c r="B13" s="2" t="n">
        <x:v>2.5</x:v>
      </x:c>
      <x:c r="C13" s="2" t="n">
        <x:v>2.5</x:v>
      </x:c>
      <x:c r="D13" s="2" t="n">
        <x:v>2.5</x:v>
      </x:c>
    </x:row>
    <x:row r="14" ht="15" hidden="0" customHeight="1">
      <x:c r="A14" s="2" t="str">
        <x:v>COGS % of revenue</x:v>
      </x:c>
      <x:c r="B14" s="12" t="n">
        <x:v>0.32</x:v>
      </x:c>
      <x:c r="C14" s="12" t="n">
        <x:v>0.25</x:v>
      </x:c>
      <x:c r="D14" s="12" t="n">
        <x:v>0.2</x:v>
      </x:c>
    </x:row>
    <x:row r="15" ht="15" hidden="0" customHeight="1">
      <x:c r="A15" s="2" t="str">
        <x:v>Payroll</x:v>
      </x:c>
      <x:c r="B15" s="2" t="n">
        <x:v>180000</x:v>
      </x:c>
      <x:c r="C15" s="2" t="n">
        <x:v>520000</x:v>
      </x:c>
      <x:c r="D15" s="2" t="n">
        <x:v>1100000</x:v>
      </x:c>
    </x:row>
    <x:row r="16" ht="15" hidden="0" customHeight="1">
      <x:c r="A16" s="2" t="str">
        <x:v>Marketing &amp; sales</x:v>
      </x:c>
      <x:c r="B16" s="2" t="n">
        <x:v>60000</x:v>
      </x:c>
      <x:c r="C16" s="2" t="n">
        <x:v>220000</x:v>
      </x:c>
      <x:c r="D16" s="2" t="n">
        <x:v>520000</x:v>
      </x:c>
    </x:row>
    <x:row r="17" ht="15" hidden="0" customHeight="1">
      <x:c r="A17" s="2" t="str">
        <x:v>G&amp;A</x:v>
      </x:c>
      <x:c r="B17" s="2" t="n">
        <x:v>50000</x:v>
      </x:c>
      <x:c r="C17" s="2" t="n">
        <x:v>140000</x:v>
      </x:c>
      <x:c r="D17" s="2" t="n">
        <x:v>260000</x:v>
      </x:c>
    </x:row>
    <x:row r="18" ht="15" hidden="0" customHeight="1">
      <x:c r="A18" s="2" t="str">
        <x:v>R&amp;D / model infrastructure</x:v>
      </x:c>
      <x:c r="B18" s="2" t="n">
        <x:v>80000</x:v>
      </x:c>
      <x:c r="C18" s="2" t="n">
        <x:v>180000</x:v>
      </x:c>
      <x:c r="D18" s="2" t="n">
        <x:v>360000</x:v>
      </x:c>
    </x:row>
    <x:row r="19" ht="15" hidden="0" customHeight="1">
      <x:c r="A19" s="2" t="str">
        <x:v>Opening cash / seed ask</x:v>
      </x:c>
      <x:c r="B19" s="2" t="n">
        <x:v>750000</x:v>
      </x:c>
      <x:c r="C19" s="2" t="str"/>
      <x:c r="D19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6999969482422" hidden="0" customWidth="1"/>
    <x:col min="2" max="2" width="76.72000122070312" hidden="0" customWidth="1"/>
    <x:col min="3" max="3" width="9.420000076293945" hidden="0" customWidth="1"/>
    <x:col min="4" max="4" width="9.420000076293945" hidden="0" customWidth="1"/>
  </x:cols>
  <x:sheetData>
    <x:row r="1" ht="19.200000762939453" hidden="0" customHeight="1">
      <x:c r="A1" s="4" t="str">
        <x:v>Revenue Model</x:v>
      </x:c>
      <x:c r="B1" s="11" t="str"/>
      <x:c r="C1" s="11" t="str"/>
      <x:c r="D1" s="11" t="str"/>
      <x:c r="E1" s="8"/>
      <x:c r="F1" s="8"/>
      <x:c r="G1" s="8"/>
      <x:c r="H1" s="8"/>
    </x:row>
    <x:row r="2" ht="15" hidden="0" customHeight="1">
      <x:c r="A2" s="2"/>
      <x:c r="B2" s="2"/>
      <x:c r="C2" s="2"/>
      <x:c r="D2" s="2"/>
    </x:row>
    <x:row r="3" ht="15" hidden="0" customHeight="1">
      <x:c r="A3" s="6" t="str">
        <x:v>Line item</x:v>
      </x:c>
      <x:c r="B3" s="6" t="str">
        <x:v>Year 1</x:v>
      </x:c>
      <x:c r="C3" s="6" t="str">
        <x:v>Year 2</x:v>
      </x:c>
      <x:c r="D3" s="6" t="str">
        <x:v>Year 3</x:v>
      </x:c>
      <x:c r="E3" s="10"/>
      <x:c r="F3" s="10"/>
      <x:c r="G3" s="10"/>
      <x:c r="H3" s="10"/>
    </x:row>
    <x:row r="4" ht="15" hidden="0" customHeight="1">
      <x:c r="A4" s="2" t="str">
        <x:v>Avg Starter customers</x:v>
      </x:c>
      <x:c r="B4" s="2" t="n">
        <x:f>Assumptions!B4/2</x:f>
        <x:v>12.5</x:v>
      </x:c>
      <x:c r="C4" s="2" t="n">
        <x:f>(Assumptions!B4+Assumptions!C4)/2</x:f>
        <x:v>72.5</x:v>
      </x:c>
      <x:c r="D4" s="2" t="n">
        <x:f>(Assumptions!C4+Assumptions!D4)/2</x:f>
        <x:v>235</x:v>
      </x:c>
    </x:row>
    <x:row r="5" ht="15" hidden="0" customHeight="1">
      <x:c r="A5" s="2" t="str">
        <x:v>Avg Growth customers</x:v>
      </x:c>
      <x:c r="B5" s="2" t="n">
        <x:f>Assumptions!B5/2</x:f>
        <x:v>4</x:v>
      </x:c>
      <x:c r="C5" s="2" t="n">
        <x:f>(Assumptions!B5+Assumptions!C5)/2</x:f>
        <x:v>26.5</x:v>
      </x:c>
      <x:c r="D5" s="2" t="n">
        <x:f>(Assumptions!C5+Assumptions!D5)/2</x:f>
        <x:v>87.5</x:v>
      </x:c>
    </x:row>
    <x:row r="6" ht="15" hidden="0" customHeight="1">
      <x:c r="A6" s="2" t="str">
        <x:v>Avg Enterprise customers</x:v>
      </x:c>
      <x:c r="B6" s="2" t="n">
        <x:f>Assumptions!B6/2</x:f>
        <x:v>0.5</x:v>
      </x:c>
      <x:c r="C6" s="2" t="n">
        <x:f>(Assumptions!B6+Assumptions!C6)/2</x:f>
        <x:v>4.5</x:v>
      </x:c>
      <x:c r="D6" s="2" t="n">
        <x:f>(Assumptions!C6+Assumptions!D6)/2</x:f>
        <x:v>16.5</x:v>
      </x:c>
    </x:row>
    <x:row r="7" ht="15" hidden="0" customHeight="1">
      <x:c r="A7" s="2" t="str">
        <x:v>Total avg customers</x:v>
      </x:c>
      <x:c r="B7" s="2" t="n">
        <x:f>SUM(B4:B6)</x:f>
        <x:v>17</x:v>
      </x:c>
      <x:c r="C7" s="2" t="n">
        <x:f>SUM(C4:C6)</x:f>
        <x:v>103.5</x:v>
      </x:c>
      <x:c r="D7" s="2" t="n">
        <x:f>SUM(D4:D6)</x:f>
        <x:v>339</x:v>
      </x:c>
    </x:row>
    <x:row r="8" ht="15" hidden="0" customHeight="1">
      <x:c r="A8" s="2" t="str">
        <x:v>Subscription revenue</x:v>
      </x:c>
      <x:c r="B8" s="2" t="n">
        <x:f>12*(B4*Assumptions!B7+B5*Assumptions!B8+B6*Assumptions!B9)</x:f>
        <x:v>90702</x:v>
      </x:c>
      <x:c r="C8" s="2" t="n">
        <x:f>12*(C4*Assumptions!C7+C5*Assumptions!C8+C6*Assumptions!C9)</x:f>
        <x:v>605712</x:v>
      </x:c>
      <x:c r="D8" s="2" t="n">
        <x:f>12*(D4*Assumptions!D7+D5*Assumptions!D8+D6*Assumptions!D9)</x:f>
        <x:v>2036130</x:v>
      </x:c>
    </x:row>
    <x:row r="9" ht="15" hidden="0" customHeight="1">
      <x:c r="A9" s="2" t="str">
        <x:v>Analyses processed</x:v>
      </x:c>
      <x:c r="B9" s="2" t="n">
        <x:f>12*(B4*Assumptions!B10+B5*Assumptions!B11+B6*Assumptions!B12)</x:f>
        <x:v>12600</x:v>
      </x:c>
      <x:c r="C9" s="2" t="n">
        <x:f>12*(C4*Assumptions!C10+C5*Assumptions!C11+C6*Assumptions!C12)</x:f>
        <x:v>82800</x:v>
      </x:c>
      <x:c r="D9" s="2" t="n">
        <x:f>12*(D4*Assumptions!D10+D5*Assumptions!D11+D6*Assumptions!D12)</x:f>
        <x:v>277200</x:v>
      </x:c>
    </x:row>
    <x:row r="10" ht="15" hidden="0" customHeight="1">
      <x:c r="A10" s="2" t="str">
        <x:v>Usage revenue</x:v>
      </x:c>
      <x:c r="B10" s="2" t="n">
        <x:f>B9*Assumptions!B13</x:f>
        <x:v>31500</x:v>
      </x:c>
      <x:c r="C10" s="2" t="n">
        <x:f>C9*Assumptions!C13</x:f>
        <x:v>207000</x:v>
      </x:c>
      <x:c r="D10" s="2" t="n">
        <x:f>D9*Assumptions!D13</x:f>
        <x:v>693000</x:v>
      </x:c>
    </x:row>
    <x:row r="11" ht="15" hidden="0" customHeight="1">
      <x:c r="A11" s="2" t="str">
        <x:v>Total revenue</x:v>
      </x:c>
      <x:c r="B11" s="2" t="n">
        <x:f>B8+B10</x:f>
        <x:v>122202</x:v>
      </x:c>
      <x:c r="C11" s="2" t="n">
        <x:f>C8+C10</x:f>
        <x:v>812712</x:v>
      </x:c>
      <x:c r="D11" s="2" t="n">
        <x:f>D8+D10</x:f>
        <x:v>2729130</x:v>
      </x:c>
    </x:row>
    <x:row r="12" ht="15" hidden="0" customHeight="1">
      <x:c r="A12" s="2" t="str">
        <x:v>Revenue growth</x:v>
      </x:c>
      <x:c r="B12" s="12" t="str"/>
      <x:c r="C12" s="12" t="n">
        <x:f>C11/B11-1</x:f>
        <x:v>5.6505621839249764</x:v>
      </x:c>
      <x:c r="D12" s="12" t="n">
        <x:f>D11/C11-1</x:f>
        <x:v>2.3580530372382835</x:v>
      </x:c>
    </x:row>
    <x:row r="13" ht="15" hidden="0" customHeight="1">
      <x:c r="A13" s="2" t="str">
        <x:v>Ending customers</x:v>
      </x:c>
      <x:c r="B13" s="2" t="n">
        <x:f>SUM(Assumptions!B4:B6)</x:f>
        <x:v>34</x:v>
      </x:c>
      <x:c r="C13" s="2" t="n">
        <x:f>SUM(Assumptions!C4:C6)</x:f>
        <x:v>173</x:v>
      </x:c>
      <x:c r="D13" s="2" t="n">
        <x:f>SUM(Assumptions!D4:D6)</x:f>
        <x:v>505</x:v>
      </x:c>
    </x:row>
    <x:row r="14" ht="15" hidden="0" customHeight="1">
      <x:c r="A14" s="2" t="str">
        <x:v>Blended ARPA / month</x:v>
      </x:c>
      <x:c r="B14" s="2" t="n">
        <x:f>B11/B7/12</x:f>
        <x:v>599.0294117647059</x:v>
      </x:c>
      <x:c r="C14" s="2" t="n">
        <x:f>C11/C7/12</x:f>
        <x:v>654.3574879227053</x:v>
      </x:c>
      <x:c r="D14" s="2" t="n">
        <x:f>D11/D7/12</x:f>
        <x:v>670.877581120944</x:v>
      </x:c>
    </x:row>
    <x:row r="15" ht="15" hidden="0" customHeight="1">
      <x:c r="A15" s="2" t="str">
        <x:v>Gross margin</x:v>
      </x:c>
      <x:c r="B15" s="12" t="n">
        <x:f>1-Assumptions!B14</x:f>
        <x:v>0.6799999999999999</x:v>
      </x:c>
      <x:c r="C15" s="12" t="n">
        <x:f>1-Assumptions!C14</x:f>
        <x:v>0.75</x:v>
      </x:c>
      <x:c r="D15" s="12" t="n">
        <x:f>1-Assumptions!D14</x:f>
        <x:v>0.8</x:v>
      </x:c>
    </x:row>
    <x:row r="16" ht="15" hidden="0" customHeight="1">
      <x:c r="A16" s="2" t="str">
        <x:v>Commercialization note</x:v>
      </x:c>
      <x:c r="B16" s="2" t="str">
        <x:v>Assumes a commercial license, partner route, or replacement model after hackathon/research prototype.</x:v>
      </x:c>
      <x:c r="C16" s="2" t="str"/>
      <x:c r="D16" s="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80000686645508" hidden="0" customWidth="1"/>
    <x:col min="2" max="2" width="10.09000015258789" hidden="0" customWidth="1"/>
    <x:col min="3" max="3" width="10.09000015258789" hidden="0" customWidth="1"/>
    <x:col min="4" max="4" width="10.09000015258789" hidden="0" customWidth="1"/>
  </x:cols>
  <x:sheetData>
    <x:row r="1" ht="19.200000762939453" hidden="0" customHeight="1">
      <x:c r="A1" s="4" t="str">
        <x:v>P&amp;L</x:v>
      </x:c>
      <x:c r="B1" s="11" t="str"/>
      <x:c r="C1" s="11" t="str"/>
      <x:c r="D1" s="11" t="str"/>
      <x:c r="E1" s="8"/>
      <x:c r="F1" s="8"/>
      <x:c r="G1" s="8"/>
      <x:c r="H1" s="8"/>
    </x:row>
    <x:row r="2" ht="15" hidden="0" customHeight="1">
      <x:c r="A2" s="2"/>
      <x:c r="B2" s="2"/>
      <x:c r="C2" s="2"/>
      <x:c r="D2" s="2"/>
    </x:row>
    <x:row r="3" ht="15" hidden="0" customHeight="1">
      <x:c r="A3" s="6" t="str">
        <x:v>Line item</x:v>
      </x:c>
      <x:c r="B3" s="6" t="str">
        <x:v>Year 1</x:v>
      </x:c>
      <x:c r="C3" s="6" t="str">
        <x:v>Year 2</x:v>
      </x:c>
      <x:c r="D3" s="6" t="str">
        <x:v>Year 3</x:v>
      </x:c>
      <x:c r="E3" s="10"/>
      <x:c r="F3" s="10"/>
      <x:c r="G3" s="10"/>
      <x:c r="H3" s="10"/>
    </x:row>
    <x:row r="4" ht="15" hidden="0" customHeight="1">
      <x:c r="A4" s="2" t="str">
        <x:v>Revenue</x:v>
      </x:c>
      <x:c r="B4" s="2" t="n">
        <x:f>'Revenue Model'!B11</x:f>
        <x:v>122202</x:v>
      </x:c>
      <x:c r="C4" s="2" t="n">
        <x:f>'Revenue Model'!C11</x:f>
        <x:v>812712</x:v>
      </x:c>
      <x:c r="D4" s="2" t="n">
        <x:f>'Revenue Model'!D11</x:f>
        <x:v>2729130</x:v>
      </x:c>
    </x:row>
    <x:row r="5" ht="15" hidden="0" customHeight="1">
      <x:c r="A5" s="2" t="str">
        <x:v>COGS</x:v>
      </x:c>
      <x:c r="B5" s="2" t="n">
        <x:f>B4*Assumptions!B14</x:f>
        <x:v>39104.64</x:v>
      </x:c>
      <x:c r="C5" s="2" t="n">
        <x:f>C4*Assumptions!C14</x:f>
        <x:v>203178</x:v>
      </x:c>
      <x:c r="D5" s="2" t="n">
        <x:f>D4*Assumptions!D14</x:f>
        <x:v>545826</x:v>
      </x:c>
    </x:row>
    <x:row r="6" ht="15" hidden="0" customHeight="1">
      <x:c r="A6" s="2" t="str">
        <x:v>Gross profit</x:v>
      </x:c>
      <x:c r="B6" s="2" t="n">
        <x:f>B4-B5</x:f>
        <x:v>83097.36</x:v>
      </x:c>
      <x:c r="C6" s="2" t="n">
        <x:f>C4-C5</x:f>
        <x:v>609534</x:v>
      </x:c>
      <x:c r="D6" s="2" t="n">
        <x:f>D4-D5</x:f>
        <x:v>2183304</x:v>
      </x:c>
    </x:row>
    <x:row r="7" ht="15" hidden="0" customHeight="1">
      <x:c r="A7" s="2" t="str">
        <x:v>Gross margin</x:v>
      </x:c>
      <x:c r="B7" s="12" t="n">
        <x:f>B6/B4</x:f>
        <x:v>0.68</x:v>
      </x:c>
      <x:c r="C7" s="12" t="n">
        <x:f>C6/C4</x:f>
        <x:v>0.75</x:v>
      </x:c>
      <x:c r="D7" s="12" t="n">
        <x:f>D6/D4</x:f>
        <x:v>0.8</x:v>
      </x:c>
    </x:row>
    <x:row r="8" ht="15" hidden="0" customHeight="1">
      <x:c r="A8" s="2" t="str">
        <x:v>Payroll</x:v>
      </x:c>
      <x:c r="B8" s="2" t="n">
        <x:f>Assumptions!B15</x:f>
        <x:v>180000</x:v>
      </x:c>
      <x:c r="C8" s="2" t="n">
        <x:f>Assumptions!C15</x:f>
        <x:v>520000</x:v>
      </x:c>
      <x:c r="D8" s="2" t="n">
        <x:f>Assumptions!D15</x:f>
        <x:v>1100000</x:v>
      </x:c>
    </x:row>
    <x:row r="9" ht="15" hidden="0" customHeight="1">
      <x:c r="A9" s="2" t="str">
        <x:v>Marketing &amp; sales</x:v>
      </x:c>
      <x:c r="B9" s="2" t="n">
        <x:f>Assumptions!B16</x:f>
        <x:v>60000</x:v>
      </x:c>
      <x:c r="C9" s="2" t="n">
        <x:f>Assumptions!C16</x:f>
        <x:v>220000</x:v>
      </x:c>
      <x:c r="D9" s="2" t="n">
        <x:f>Assumptions!D16</x:f>
        <x:v>520000</x:v>
      </x:c>
    </x:row>
    <x:row r="10" ht="15" hidden="0" customHeight="1">
      <x:c r="A10" s="2" t="str">
        <x:v>G&amp;A</x:v>
      </x:c>
      <x:c r="B10" s="2" t="n">
        <x:f>Assumptions!B17</x:f>
        <x:v>50000</x:v>
      </x:c>
      <x:c r="C10" s="2" t="n">
        <x:f>Assumptions!C17</x:f>
        <x:v>140000</x:v>
      </x:c>
      <x:c r="D10" s="2" t="n">
        <x:f>Assumptions!D17</x:f>
        <x:v>260000</x:v>
      </x:c>
    </x:row>
    <x:row r="11" ht="15" hidden="0" customHeight="1">
      <x:c r="A11" s="2" t="str">
        <x:v>R&amp;D / model infrastructure</x:v>
      </x:c>
      <x:c r="B11" s="2" t="n">
        <x:f>Assumptions!B18</x:f>
        <x:v>80000</x:v>
      </x:c>
      <x:c r="C11" s="2" t="n">
        <x:f>Assumptions!C18</x:f>
        <x:v>180000</x:v>
      </x:c>
      <x:c r="D11" s="2" t="n">
        <x:f>Assumptions!D18</x:f>
        <x:v>360000</x:v>
      </x:c>
    </x:row>
    <x:row r="12" ht="15" hidden="0" customHeight="1">
      <x:c r="A12" s="2" t="str">
        <x:v>Operating expenses</x:v>
      </x:c>
      <x:c r="B12" s="2" t="n">
        <x:f>SUM(B8:B11)</x:f>
        <x:v>370000</x:v>
      </x:c>
      <x:c r="C12" s="2" t="n">
        <x:f>SUM(C8:C11)</x:f>
        <x:v>1060000</x:v>
      </x:c>
      <x:c r="D12" s="2" t="n">
        <x:f>SUM(D8:D11)</x:f>
        <x:v>2240000</x:v>
      </x:c>
    </x:row>
    <x:row r="13" ht="15" hidden="0" customHeight="1">
      <x:c r="A13" s="2" t="str">
        <x:v>EBITDA</x:v>
      </x:c>
      <x:c r="B13" s="2" t="n">
        <x:f>B6-B12</x:f>
        <x:v>-286902.64</x:v>
      </x:c>
      <x:c r="C13" s="2" t="n">
        <x:f>C6-C12</x:f>
        <x:v>-450466</x:v>
      </x:c>
      <x:c r="D13" s="2" t="n">
        <x:f>D6-D12</x:f>
        <x:v>-56696</x:v>
      </x:c>
    </x:row>
    <x:row r="14" ht="15" hidden="0" customHeight="1">
      <x:c r="A14" s="2" t="str">
        <x:v>EBITDA margin</x:v>
      </x:c>
      <x:c r="B14" s="12" t="n">
        <x:f>B13/B4</x:f>
        <x:v>-2.3477736861917156</x:v>
      </x:c>
      <x:c r="C14" s="12" t="n">
        <x:f>C13/C4</x:f>
        <x:v>-0.5542750691511876</x:v>
      </x:c>
      <x:c r="D14" s="12" t="n">
        <x:f>D13/D4</x:f>
        <x:v>-0.02077438597648335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959999084472656" hidden="0" customWidth="1"/>
    <x:col min="2" max="2" width="45.4900016784668" hidden="0" customWidth="1"/>
    <x:col min="3" max="3" width="9.420000076293945" hidden="0" customWidth="1"/>
    <x:col min="4" max="4" width="9.420000076293945" hidden="0" customWidth="1"/>
  </x:cols>
  <x:sheetData>
    <x:row r="1" ht="19.200000762939453" hidden="0" customHeight="1">
      <x:c r="A1" s="4" t="str">
        <x:v>Cash Runway</x:v>
      </x:c>
      <x:c r="B1" s="11" t="str"/>
      <x:c r="C1" s="11" t="str"/>
      <x:c r="D1" s="11" t="str"/>
      <x:c r="E1" s="8"/>
      <x:c r="F1" s="8"/>
      <x:c r="G1" s="8"/>
      <x:c r="H1" s="8"/>
    </x:row>
    <x:row r="2" ht="15" hidden="0" customHeight="1">
      <x:c r="A2" s="2"/>
      <x:c r="B2" s="2"/>
      <x:c r="C2" s="2"/>
      <x:c r="D2" s="2"/>
    </x:row>
    <x:row r="3" ht="15" hidden="0" customHeight="1">
      <x:c r="A3" s="6" t="str">
        <x:v>Line item</x:v>
      </x:c>
      <x:c r="B3" s="6" t="str">
        <x:v>Year 1</x:v>
      </x:c>
      <x:c r="C3" s="6" t="str">
        <x:v>Year 2</x:v>
      </x:c>
      <x:c r="D3" s="6" t="str">
        <x:v>Year 3</x:v>
      </x:c>
      <x:c r="E3" s="10"/>
      <x:c r="F3" s="10"/>
      <x:c r="G3" s="10"/>
      <x:c r="H3" s="10"/>
    </x:row>
    <x:row r="4" ht="15" hidden="0" customHeight="1">
      <x:c r="A4" s="2" t="str">
        <x:v>Opening cash</x:v>
      </x:c>
      <x:c r="B4" s="2" t="n">
        <x:f>Assumptions!B19</x:f>
        <x:v>750000</x:v>
      </x:c>
      <x:c r="C4" s="2" t="n">
        <x:f>B6</x:f>
        <x:v>463097.36</x:v>
      </x:c>
      <x:c r="D4" s="2" t="n">
        <x:f>C6</x:f>
        <x:v>12631.359999999986</x:v>
      </x:c>
    </x:row>
    <x:row r="5" ht="15" hidden="0" customHeight="1">
      <x:c r="A5" s="2" t="str">
        <x:v>EBITDA / burn</x:v>
      </x:c>
      <x:c r="B5" s="2" t="n">
        <x:f>'P&amp;L'!B13</x:f>
        <x:v>-286902.64</x:v>
      </x:c>
      <x:c r="C5" s="2" t="n">
        <x:f>'P&amp;L'!C13</x:f>
        <x:v>-450466</x:v>
      </x:c>
      <x:c r="D5" s="2" t="n">
        <x:f>'P&amp;L'!D13</x:f>
        <x:v>-56696</x:v>
      </x:c>
    </x:row>
    <x:row r="6" ht="15" hidden="0" customHeight="1">
      <x:c r="A6" s="2" t="str">
        <x:v>Closing cash</x:v>
      </x:c>
      <x:c r="B6" s="2" t="n">
        <x:f>B4+B5</x:f>
        <x:v>463097.36</x:v>
      </x:c>
      <x:c r="C6" s="2" t="n">
        <x:f>C4+C5</x:f>
        <x:v>12631.359999999986</x:v>
      </x:c>
      <x:c r="D6" s="2" t="n">
        <x:f>D4+D5</x:f>
        <x:v>-44064.640000000014</x:v>
      </x:c>
    </x:row>
    <x:row r="7" ht="15" hidden="0" customHeight="1">
      <x:c r="A7" s="2" t="str">
        <x:v>Avg monthly burn when negative</x:v>
      </x:c>
      <x:c r="B7" s="2" t="n">
        <x:f>IF(B5&lt;0,-B5/12,0)</x:f>
        <x:v>23908.553333333333</x:v>
      </x:c>
      <x:c r="C7" s="2" t="n">
        <x:f>IF(C5&lt;0,-C5/12,0)</x:f>
        <x:v>37538.833333333336</x:v>
      </x:c>
      <x:c r="D7" s="2" t="n">
        <x:f>IF(D5&lt;0,-D5/12,0)</x:f>
        <x:v>4724.666666666667</x:v>
      </x:c>
    </x:row>
    <x:row r="8" ht="15" hidden="0" customHeight="1">
      <x:c r="A8" s="2" t="str">
        <x:v>Runway at year end</x:v>
      </x:c>
      <x:c r="B8" s="2" t="n">
        <x:f>IF(B7&gt;0,B6/B7,"Profitable")</x:f>
        <x:v>19.36952661014203</x:v>
      </x:c>
      <x:c r="C8" s="2" t="n">
        <x:f>IF(C7&gt;0,C6/C7,"Profitable")</x:f>
        <x:v>0.3364878148406313</x:v>
      </x:c>
      <x:c r="D8" s="2" t="n">
        <x:f>IF(D7&gt;0,D6/D7,"Profitable")</x:f>
        <x:v>-9.326507690136873</x:v>
      </x:c>
    </x:row>
    <x:row r="9" ht="15" hidden="0" customHeight="1">
      <x:c r="A9" s="2" t="str">
        <x:v>Financing implication</x:v>
      </x:c>
      <x:c r="B9" s="2" t="str">
        <x:v>Seed ask funds productization path and first GTM proof points.</x:v>
      </x:c>
      <x:c r="C9" s="2" t="str"/>
      <x:c r="D9" s="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28.940000534057617" hidden="0" customWidth="1"/>
    <x:col min="3" max="3" width="28.940000534057617" hidden="0" customWidth="1"/>
    <x:col min="4" max="4" width="28.940000534057617" hidden="0" customWidth="1"/>
    <x:col min="5" max="5" width="28.940000534057617" hidden="0" customWidth="1"/>
  </x:cols>
  <x:sheetData>
    <x:row r="1" ht="19.200000762939453" hidden="0" customHeight="1">
      <x:c r="A1" s="4" t="str">
        <x:v>Business Model Canvas</x:v>
      </x:c>
      <x:c r="B1" s="4" t="str"/>
      <x:c r="C1" s="4" t="str"/>
      <x:c r="D1" s="4" t="str"/>
      <x:c r="E1" s="4" t="str"/>
      <x:c r="F1" s="8"/>
      <x:c r="G1" s="8"/>
      <x:c r="H1" s="8"/>
    </x:row>
    <x:row r="2" ht="15" hidden="0" customHeight="1">
      <x:c r="A2" s="2"/>
      <x:c r="B2" s="2"/>
      <x:c r="C2" s="2"/>
      <x:c r="D2" s="2"/>
      <x:c r="E2" s="2"/>
    </x:row>
    <x:row r="3" ht="15" hidden="0" customHeight="1">
      <x:c r="A3" s="6" t="str">
        <x:v>Key Partners</x:v>
      </x:c>
      <x:c r="B3" s="6" t="str">
        <x:v>Key Activities</x:v>
      </x:c>
      <x:c r="C3" s="6" t="str">
        <x:v>Value Propositions</x:v>
      </x:c>
      <x:c r="D3" s="6" t="str">
        <x:v>Customer Relationships</x:v>
      </x:c>
      <x:c r="E3" s="6" t="str">
        <x:v>Customer Segments</x:v>
      </x:c>
      <x:c r="F3" s="10"/>
      <x:c r="G3" s="10"/>
      <x:c r="H3" s="10"/>
    </x:row>
    <x:row r="4" ht="127.5" hidden="0" customHeight="1">
      <x:c r="A4" s="2" t="str">
        <x:v>Meta/TRIBE research ecosystem
Commercial model/data partners
Supabase + cloud/GPU providers
OpenRouter, Gemini/Pollinations, ElevenLabs
Agency and accelerator partners</x:v>
      </x:c>
      <x:c r="B4" s="2" t="str">
        <x:v>Generate multimodal ad assets
Predict neural activation before spend
Benchmark and interpret creative signals
Export reports / campaign data
Build compliant commercial model layer</x:v>
      </x:c>
      <x:c r="C4" s="2" t="str">
        <x:v>Pre-spend creative intelligence: create, test, and rank ads before paid media budget is committed.
A single workflow for ad generation plus neuro-response feedback.</x:v>
      </x:c>
      <x:c r="D4" s="2" t="str">
        <x:v>Self-serve product-led onboarding
High-touch agency pilots
Quarterly creative performance reviews
Template playbooks and exportable reports</x:v>
      </x:c>
      <x:c r="E4" s="2" t="str">
        <x:v>SMB marketing teams
Performance agencies
DTC/e-commerce brands
Innovation teams and hackathon/research pilots
Later: enterprise brand labs</x:v>
      </x:c>
    </x:row>
    <x:row r="5" ht="15" hidden="0" customHeight="1">
      <x:c r="A5" s="2" t="str"/>
      <x:c r="B5" s="2" t="str">
        <x:v>Key Resources</x:v>
      </x:c>
      <x:c r="C5" s="2" t="str"/>
      <x:c r="D5" s="2" t="str">
        <x:v>Channels</x:v>
      </x:c>
      <x:c r="E5" s="2" t="str"/>
    </x:row>
    <x:row r="6" ht="60" hidden="0" customHeight="1">
      <x:c r="A6" s="2" t="str"/>
      <x:c r="B6" s="2" t="str">
        <x:v>Cortex web app
Generated media/gallery data
TRIBE prototype integration
Commercial model rights or replacement model
Founding team + ML/GTM advisors</x:v>
      </x:c>
      <x:c r="C6" s="2" t="str"/>
      <x:c r="D6" s="2" t="str">
        <x:v>Hackathon demos
Agency partnerships
Founder-led outbound
Content around neuroscience-informed creative
Meta/TikTok/Instagram integrations</x:v>
      </x:c>
      <x:c r="E6" s="2" t="str"/>
    </x:row>
    <x:row r="7" ht="112.5" hidden="0" customHeight="1">
      <x:c r="A7" s="2" t="str">
        <x:v>Cost Structure</x:v>
      </x:c>
      <x:c r="B7" s="2" t="str"/>
      <x:c r="C7" s="2" t="str"/>
      <x:c r="D7" s="2" t="str">
        <x:v>Revenue Streams</x:v>
      </x:c>
      <x:c r="E7" s="2" t="str"/>
    </x:row>
    <x:row r="8" ht="60" hidden="0" customHeight="1">
      <x:c r="A8" s="2" t="str">
        <x:v>Model inference and GPU compute
LLM/media generation APIs
Engineering and ML productization
Sales/marketing and agency success
Legal/licensing diligence</x:v>
      </x:c>
      <x:c r="B8" s="2" t="str"/>
      <x:c r="C8" s="2" t="str"/>
      <x:c r="D8" s="2" t="str">
        <x:v>SaaS subscriptions by team size
Usage fees per analyzed creative
Agency/enterprise pilot packages
Reports and campaign export workflows
Future API/integration fees</x:v>
      </x:c>
      <x:c r="E8" s="2" t="str"/>
    </x:row>
    <x:row r="10" ht="97.5" customHeight="1"/>
  </x:sheetData>
  <x:pageMargins left="0.7" right="0.7" top="0.75" bottom="0.75" header="0.3" footer="0.3"/>
</x:worksheet>
</file>